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<sst xmlns="http://schemas.openxmlformats.org/spreadsheetml/2006/main" count="81" uniqueCount="33">
  <si>
    <t xml:space="preserve">Data</t>
  </si>
  <si>
    <t xml:space="preserve">Centro</t>
  </si>
  <si>
    <t xml:space="preserve">Curso</t>
  </si>
  <si>
    <t xml:space="preserve">Tipo</t>
  </si>
  <si>
    <t xml:space="preserve">Descrição</t>
  </si>
  <si>
    <t xml:space="preserve">Estado</t>
  </si>
  <si>
    <t xml:space="preserve">Data_Abertura</t>
  </si>
  <si>
    <t xml:space="preserve">Data_Resolução</t>
  </si>
  <si>
    <t xml:space="preserve">TMRP</t>
  </si>
  <si>
    <t xml:space="preserve">12/02/2026</t>
  </si>
  <si>
    <t xml:space="preserve">Alverca</t>
  </si>
  <si>
    <t xml:space="preserve">Excel Básico</t>
  </si>
  <si>
    <t xml:space="preserve">Falta de Sala</t>
  </si>
  <si>
    <t xml:space="preserve">Falta de sala</t>
  </si>
  <si>
    <t xml:space="preserve">Aprovado</t>
  </si>
  <si>
    <t xml:space="preserve">12/02/2027</t>
  </si>
  <si>
    <t xml:space="preserve">Lisboa</t>
  </si>
  <si>
    <t xml:space="preserve">Excel Avançado</t>
  </si>
  <si>
    <t xml:space="preserve">12/02/2028</t>
  </si>
  <si>
    <t xml:space="preserve">Porto</t>
  </si>
  <si>
    <t xml:space="preserve">Power BI</t>
  </si>
  <si>
    <t xml:space="preserve">12/02/2029</t>
  </si>
  <si>
    <t xml:space="preserve">Coimbra</t>
  </si>
  <si>
    <t xml:space="preserve">Python</t>
  </si>
  <si>
    <t xml:space="preserve">12/02/2030</t>
  </si>
  <si>
    <t xml:space="preserve">Gestão de Projetos</t>
  </si>
  <si>
    <t xml:space="preserve">12/02/2031</t>
  </si>
  <si>
    <t xml:space="preserve">12/02/2032</t>
  </si>
  <si>
    <t xml:space="preserve">12/02/2033</t>
  </si>
  <si>
    <t xml:space="preserve">12/02/2034</t>
  </si>
  <si>
    <t xml:space="preserve">12/02/2035</t>
  </si>
  <si>
    <t xml:space="preserve">12/02/2036</t>
  </si>
  <si>
    <t xml:space="preserve">12/02/2037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</si>
</sst>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C21" activeCellId="0" sqref="C21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2" min="2" style="1" width="11.53"/>
    <col collapsed="false" customWidth="true" hidden="false" outlineLevel="0" max="8" min="8" style="1" width="13.12"/>
    <col collapsed="false" customWidth="true" hidden="false" outlineLevel="0" max="9" min="9" style="1" width="14.79"/>
    <col collapsed="false" customWidth="true" hidden="false" outlineLevel="0" max="10" min="10" style="2" width="13.6"/>
  </cols>
  <sheetData>
    <row r="1" customFormat="false" ht="12.8" hidden="false" customHeight="fals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4" t="s">
        <v>8</v>
      </c>
    </row>
    <row r="2" customFormat="false" ht="12.8" hidden="false" customHeight="false" outlineLevel="0" collapsed="false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7" t="n">
        <v>46373</v>
      </c>
      <c r="H2" s="7" t="n">
        <v>46384</v>
      </c>
      <c r="I2" s="8" t="str">
        <f aca="false">IF(AND(ISNUMBER(G2), ISNUMBER(H2)), (H2-G2)*24 &amp; " horas", "")</f>
        <v>264 horas</v>
      </c>
      <c r="J2" s="0"/>
    </row>
    <row r="3" customFormat="false" ht="12.8" hidden="false" customHeight="false" outlineLevel="0" collapsed="false">
      <c r="A3" s="5" t="s">
        <v>15</v>
      </c>
      <c r="B3" s="2" t="s">
        <v>16</v>
      </c>
      <c r="C3" s="2" t="s">
        <v>17</v>
      </c>
      <c r="D3" s="6" t="s">
        <v>12</v>
      </c>
      <c r="E3" s="6" t="s">
        <v>13</v>
      </c>
      <c r="F3" s="6" t="s">
        <v>14</v>
      </c>
      <c r="G3" s="7" t="n">
        <v>46375</v>
      </c>
      <c r="H3" s="7" t="n">
        <v>46385</v>
      </c>
      <c r="I3" s="8" t="str">
        <f aca="false">IF(AND(ISNUMBER(G3), ISNUMBER(H3)), (H3-G3)*24 &amp; " horas", "")</f>
        <v>240 horas</v>
      </c>
      <c r="J3" s="0"/>
    </row>
    <row r="4" customFormat="false" ht="12.8" hidden="false" customHeight="false" outlineLevel="0" collapsed="false">
      <c r="A4" s="5" t="s">
        <v>18</v>
      </c>
      <c r="B4" s="2" t="s">
        <v>19</v>
      </c>
      <c r="C4" s="2" t="s">
        <v>20</v>
      </c>
      <c r="D4" s="6" t="s">
        <v>12</v>
      </c>
      <c r="E4" s="6" t="s">
        <v>13</v>
      </c>
      <c r="F4" s="6" t="s">
        <v>14</v>
      </c>
      <c r="G4" s="7" t="n">
        <v>46376</v>
      </c>
      <c r="H4" s="7" t="n">
        <v>46386</v>
      </c>
      <c r="I4" s="8" t="str">
        <f aca="false">IF(AND(ISNUMBER(G4), ISNUMBER(H4)), (H4-G4)*24 &amp; " horas", "")</f>
        <v>240 horas</v>
      </c>
      <c r="J4" s="0"/>
    </row>
    <row r="5" customFormat="false" ht="12.8" hidden="false" customHeight="false" outlineLevel="0" collapsed="false">
      <c r="A5" s="5" t="s">
        <v>21</v>
      </c>
      <c r="B5" s="2" t="s">
        <v>22</v>
      </c>
      <c r="C5" s="2" t="s">
        <v>23</v>
      </c>
      <c r="D5" s="6" t="s">
        <v>12</v>
      </c>
      <c r="E5" s="6" t="s">
        <v>13</v>
      </c>
      <c r="F5" s="6" t="s">
        <v>14</v>
      </c>
      <c r="G5" s="7" t="n">
        <v>46387</v>
      </c>
      <c r="H5" s="7" t="n">
        <v>46387</v>
      </c>
      <c r="I5" s="8" t="str">
        <f aca="false">IF(AND(ISNUMBER(G5), ISNUMBER(H5)), (H5-G5)*24 &amp; " horas", "")</f>
        <v>0 horas</v>
      </c>
      <c r="J5" s="0"/>
    </row>
    <row r="6" customFormat="false" ht="12.8" hidden="false" customHeight="false" outlineLevel="0" collapsed="false">
      <c r="A6" s="5" t="s">
        <v>24</v>
      </c>
      <c r="B6" s="6" t="s">
        <v>10</v>
      </c>
      <c r="C6" s="2" t="s">
        <v>25</v>
      </c>
      <c r="D6" s="6" t="s">
        <v>12</v>
      </c>
      <c r="E6" s="6" t="s">
        <v>13</v>
      </c>
      <c r="F6" s="6" t="s">
        <v>14</v>
      </c>
      <c r="G6" s="7" t="n">
        <v>46163</v>
      </c>
      <c r="H6" s="7" t="n">
        <v>46388</v>
      </c>
      <c r="I6" s="8" t="str">
        <f aca="false">IF(AND(ISNUMBER(G6), ISNUMBER(H6)), (H6-G6)*24 &amp; " horas", "")</f>
        <v>5400 horas</v>
      </c>
      <c r="J6" s="0"/>
    </row>
    <row r="7" customFormat="false" ht="12.8" hidden="false" customHeight="false" outlineLevel="0" collapsed="false">
      <c r="A7" s="5" t="s">
        <v>26</v>
      </c>
      <c r="B7" s="2" t="s">
        <v>16</v>
      </c>
      <c r="C7" s="6" t="s">
        <v>11</v>
      </c>
      <c r="D7" s="6" t="s">
        <v>12</v>
      </c>
      <c r="E7" s="6" t="s">
        <v>13</v>
      </c>
      <c r="F7" s="6" t="s">
        <v>14</v>
      </c>
      <c r="G7" s="7" t="n">
        <v>46075</v>
      </c>
      <c r="H7" s="7" t="n">
        <v>46389</v>
      </c>
      <c r="I7" s="8" t="str">
        <f aca="false">IF(AND(ISNUMBER(G7), ISNUMBER(H7)), (H7-G7)*24 &amp; " horas", "")</f>
        <v>7536 horas</v>
      </c>
      <c r="J7" s="0"/>
    </row>
    <row r="8" customFormat="false" ht="12.8" hidden="false" customHeight="false" outlineLevel="0" collapsed="false">
      <c r="A8" s="5" t="s">
        <v>27</v>
      </c>
      <c r="B8" s="2" t="s">
        <v>19</v>
      </c>
      <c r="C8" s="2" t="s">
        <v>17</v>
      </c>
      <c r="D8" s="6" t="s">
        <v>12</v>
      </c>
      <c r="E8" s="6" t="s">
        <v>13</v>
      </c>
      <c r="F8" s="6" t="s">
        <v>14</v>
      </c>
      <c r="G8" s="7" t="n">
        <v>46379</v>
      </c>
      <c r="H8" s="7" t="n">
        <v>46390</v>
      </c>
      <c r="I8" s="8" t="str">
        <f aca="false">IF(AND(ISNUMBER(G8), ISNUMBER(H8)), (H8-G8)*24 &amp; " horas", "")</f>
        <v>264 horas</v>
      </c>
      <c r="J8" s="0"/>
    </row>
    <row r="9" customFormat="false" ht="12.8" hidden="false" customHeight="false" outlineLevel="0" collapsed="false">
      <c r="A9" s="5" t="s">
        <v>28</v>
      </c>
      <c r="B9" s="2" t="s">
        <v>22</v>
      </c>
      <c r="C9" s="2" t="s">
        <v>20</v>
      </c>
      <c r="D9" s="6" t="s">
        <v>12</v>
      </c>
      <c r="E9" s="6" t="s">
        <v>13</v>
      </c>
      <c r="F9" s="6" t="s">
        <v>14</v>
      </c>
      <c r="G9" s="7" t="n">
        <v>46380</v>
      </c>
      <c r="H9" s="7" t="n">
        <v>46391</v>
      </c>
      <c r="I9" s="8" t="str">
        <f aca="false">IF(AND(ISNUMBER(G9), ISNUMBER(H9)), (H9-G9)*24 &amp; " horas", "")</f>
        <v>264 horas</v>
      </c>
      <c r="J9" s="0"/>
    </row>
    <row r="10" customFormat="false" ht="12.8" hidden="false" customHeight="false" outlineLevel="0" collapsed="false">
      <c r="A10" s="5" t="s">
        <v>29</v>
      </c>
      <c r="B10" s="6" t="s">
        <v>10</v>
      </c>
      <c r="C10" s="2" t="s">
        <v>23</v>
      </c>
      <c r="D10" s="6" t="s">
        <v>12</v>
      </c>
      <c r="E10" s="6" t="s">
        <v>13</v>
      </c>
      <c r="F10" s="6" t="s">
        <v>14</v>
      </c>
      <c r="G10" s="7" t="n">
        <v>46381</v>
      </c>
      <c r="H10" s="7" t="n">
        <v>46392</v>
      </c>
      <c r="I10" s="8" t="str">
        <f aca="false">IF(AND(ISNUMBER(G10), ISNUMBER(H10)), (H10-G10)*24 &amp; " horas", "")</f>
        <v>264 horas</v>
      </c>
      <c r="J10" s="0"/>
    </row>
    <row r="11" customFormat="false" ht="12.8" hidden="false" customHeight="false" outlineLevel="0" collapsed="false">
      <c r="A11" s="5" t="s">
        <v>30</v>
      </c>
      <c r="B11" s="2" t="s">
        <v>16</v>
      </c>
      <c r="C11" s="2" t="s">
        <v>25</v>
      </c>
      <c r="D11" s="6" t="s">
        <v>12</v>
      </c>
      <c r="E11" s="6" t="s">
        <v>13</v>
      </c>
      <c r="F11" s="6" t="s">
        <v>14</v>
      </c>
      <c r="G11" s="7" t="n">
        <v>46382</v>
      </c>
      <c r="H11" s="7" t="n">
        <v>46393</v>
      </c>
      <c r="I11" s="8" t="str">
        <f aca="false">IF(AND(ISNUMBER(G11), ISNUMBER(H11)), (H11-G11)*24 &amp; " horas", "")</f>
        <v>264 horas</v>
      </c>
      <c r="J11" s="0"/>
    </row>
    <row r="12" customFormat="false" ht="12.8" hidden="false" customHeight="false" outlineLevel="0" collapsed="false">
      <c r="A12" s="5" t="s">
        <v>31</v>
      </c>
      <c r="B12" s="2" t="s">
        <v>19</v>
      </c>
      <c r="C12" s="2" t="s">
        <v>23</v>
      </c>
      <c r="D12" s="6" t="s">
        <v>12</v>
      </c>
      <c r="E12" s="6" t="s">
        <v>13</v>
      </c>
      <c r="F12" s="6" t="s">
        <v>14</v>
      </c>
      <c r="G12" s="7" t="n">
        <v>46383</v>
      </c>
      <c r="H12" s="7" t="n">
        <v>46394</v>
      </c>
      <c r="I12" s="8" t="str">
        <f aca="false">IF(AND(ISNUMBER(G12), ISNUMBER(H12)), (H12-G12)*24 &amp; " horas", "")</f>
        <v>264 horas</v>
      </c>
      <c r="J12" s="0"/>
    </row>
    <row r="13" customFormat="false" ht="12.8" hidden="false" customHeight="false" outlineLevel="0" collapsed="false">
      <c r="A13" s="5" t="s">
        <v>32</v>
      </c>
      <c r="B13" s="2" t="s">
        <v>22</v>
      </c>
      <c r="C13" s="2" t="s">
        <v>25</v>
      </c>
      <c r="D13" s="6" t="s">
        <v>12</v>
      </c>
      <c r="E13" s="6" t="s">
        <v>13</v>
      </c>
      <c r="F13" s="6" t="s">
        <v>14</v>
      </c>
      <c r="G13" s="7" t="n">
        <v>46384</v>
      </c>
      <c r="H13" s="7" t="n">
        <v>46395</v>
      </c>
      <c r="I13" s="8" t="str">
        <f aca="false">IF(AND(ISNUMBER(G13), ISNUMBER(H13)), (H13-G13)*24 &amp; " horas", "")</f>
        <v>264 horas</v>
      </c>
      <c r="J13" s="0"/>
    </row>
    <row r="14" customFormat="false" ht="12.8" hidden="false" customHeight="false" outlineLevel="0" collapsed="false">
      <c r="B14" s="0"/>
      <c r="H14" s="0"/>
      <c r="I14" s="0"/>
      <c r="J14" s="0"/>
    </row>
    <row r="15" customFormat="false" ht="12.8" hidden="false" customHeight="false" outlineLevel="0" collapsed="false">
      <c r="J15" s="8"/>
    </row>
    <row r="27" customFormat="false" ht="12.8" hidden="false" customHeight="false" outlineLevel="0" collapsed="false">
      <c r="D27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2026-04-13T14:54:15Z</dcterms:created>
  <dc:creator/>
  <dc:description/>
  <dc:language>pt-PT</dc:language>
  <cp:lastModifiedBy/>
  <dcterms:modified xsi:type="dcterms:W3CDTF">2026-04-15T12:32:28Z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