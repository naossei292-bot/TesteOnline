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9635" windowHeight="762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" i="1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4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"/>
  <c r="W4"/>
  <c r="W5"/>
  <c r="W6"/>
  <c r="W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"/>
</calcChain>
</file>

<file path=xl/sharedStrings.xml><?xml version="1.0" encoding="utf-8"?>
<sst xmlns="http://schemas.openxmlformats.org/spreadsheetml/2006/main" count="216" uniqueCount="142">
  <si>
    <t>Status</t>
  </si>
  <si>
    <t>Ação</t>
  </si>
  <si>
    <t>Data Inicial</t>
  </si>
  <si>
    <t>Data Final</t>
  </si>
  <si>
    <t>Centro</t>
  </si>
  <si>
    <t>Inscritos</t>
  </si>
  <si>
    <t>Valor Total Recebido</t>
  </si>
  <si>
    <t>Avaliação formador</t>
  </si>
  <si>
    <t>Aptos</t>
  </si>
  <si>
    <t>Inaptos</t>
  </si>
  <si>
    <t>Desistentes</t>
  </si>
  <si>
    <t>Devedores</t>
  </si>
  <si>
    <t>Taxa de Satisfação M01</t>
  </si>
  <si>
    <t>Taxa de Satisfação M02</t>
  </si>
  <si>
    <t>Taxa de Satisfação M03</t>
  </si>
  <si>
    <t>Taxa de Satisfação M04</t>
  </si>
  <si>
    <t>Taxa de Satisfação M05</t>
  </si>
  <si>
    <t>Taxa de Satisfação M06</t>
  </si>
  <si>
    <t>Taxa de Satisfação M07</t>
  </si>
  <si>
    <t>Taxa de Satisfação M08</t>
  </si>
  <si>
    <t>Taxa de Satisfação M09</t>
  </si>
  <si>
    <t>Taxa de Satisfação M10</t>
  </si>
  <si>
    <t>Taxa de Satisfação M11</t>
  </si>
  <si>
    <t>Taxa de Satisfação M12</t>
  </si>
  <si>
    <t>Taxa de satisfação Final</t>
  </si>
  <si>
    <t>Valor total a receber</t>
  </si>
  <si>
    <t xml:space="preserve">Formador </t>
  </si>
  <si>
    <t>Nacionalidades</t>
  </si>
  <si>
    <t>Portugueses</t>
  </si>
  <si>
    <t>Estrangeiros</t>
  </si>
  <si>
    <t>Finalizado</t>
  </si>
  <si>
    <t>Prevista</t>
  </si>
  <si>
    <t>Cancelado</t>
  </si>
  <si>
    <t>Aberta</t>
  </si>
  <si>
    <t xml:space="preserve">31.01.2024 00:00:00 </t>
  </si>
  <si>
    <t xml:space="preserve">07.05.2024 00:00:00 </t>
  </si>
  <si>
    <t xml:space="preserve">FM1/0028                                          </t>
  </si>
  <si>
    <t xml:space="preserve">01.03.2024 00:00:00 </t>
  </si>
  <si>
    <t xml:space="preserve">15.03.2024 00:00:00 </t>
  </si>
  <si>
    <t xml:space="preserve">BAS/1044                                          </t>
  </si>
  <si>
    <t xml:space="preserve">03.06.2024 00:00:00 </t>
  </si>
  <si>
    <t xml:space="preserve">21.06.2024 00:00:00 </t>
  </si>
  <si>
    <t xml:space="preserve">EUFCD4478/0368                                    </t>
  </si>
  <si>
    <t xml:space="preserve">29.05.2024 00:00:00 </t>
  </si>
  <si>
    <t xml:space="preserve">04.09.2024 00:00:00 </t>
  </si>
  <si>
    <t xml:space="preserve">FM1/0030                                          </t>
  </si>
  <si>
    <t xml:space="preserve">18.09.2024 00:00:00 </t>
  </si>
  <si>
    <t xml:space="preserve">11.12.2024 00:00:00 </t>
  </si>
  <si>
    <t xml:space="preserve">28.11.2024 00:00:00 </t>
  </si>
  <si>
    <t xml:space="preserve">25.02.2025 00:00:00 </t>
  </si>
  <si>
    <t xml:space="preserve">FM1/0032                                          </t>
  </si>
  <si>
    <t xml:space="preserve">28.02.2024 00:00:00 </t>
  </si>
  <si>
    <t xml:space="preserve">FM2/0017                                          </t>
  </si>
  <si>
    <t xml:space="preserve">05.02.2024 00:00:00 </t>
  </si>
  <si>
    <t xml:space="preserve">24.02.2024 00:00:00 </t>
  </si>
  <si>
    <t xml:space="preserve">VIG/0964                                          </t>
  </si>
  <si>
    <t xml:space="preserve">25.03.2024 00:00:00 </t>
  </si>
  <si>
    <t xml:space="preserve">12.04.2024 00:00:00 </t>
  </si>
  <si>
    <t xml:space="preserve">VIG/0986                                          </t>
  </si>
  <si>
    <t xml:space="preserve">16.01.2024 00:00:00 </t>
  </si>
  <si>
    <t xml:space="preserve">26.01.2024 00:00:00 </t>
  </si>
  <si>
    <t xml:space="preserve">BAS/1000                                          </t>
  </si>
  <si>
    <t xml:space="preserve">08.07.2024 00:00:00 </t>
  </si>
  <si>
    <t xml:space="preserve">18.07.2024 00:00:00 </t>
  </si>
  <si>
    <t xml:space="preserve">BAS/1128                                          </t>
  </si>
  <si>
    <t xml:space="preserve">23.09.2024 00:00:00 </t>
  </si>
  <si>
    <t xml:space="preserve">03.10.2024 00:00:00 </t>
  </si>
  <si>
    <t xml:space="preserve">BAS/1177                                          </t>
  </si>
  <si>
    <t xml:space="preserve">16.12.2024 00:00:00 </t>
  </si>
  <si>
    <t xml:space="preserve">13.01.2025 00:00:00 </t>
  </si>
  <si>
    <t xml:space="preserve">BAS/1238                                          </t>
  </si>
  <si>
    <t xml:space="preserve">04.01.2024 00:00:00 </t>
  </si>
  <si>
    <t xml:space="preserve">12.01.2024 00:00:00 </t>
  </si>
  <si>
    <t xml:space="preserve">EUFCD4478/0266                                    </t>
  </si>
  <si>
    <t xml:space="preserve">15.02.2024 00:00:00 </t>
  </si>
  <si>
    <t xml:space="preserve">23.02.2024 00:00:00 </t>
  </si>
  <si>
    <t xml:space="preserve">EUFCD4478/0293                                    </t>
  </si>
  <si>
    <t xml:space="preserve">29.01.2024 00:00:00 </t>
  </si>
  <si>
    <t xml:space="preserve">02.02.2024 00:00:00 </t>
  </si>
  <si>
    <t xml:space="preserve">EUFCD4798/0265                                    </t>
  </si>
  <si>
    <t xml:space="preserve">26.02.2024 00:00:00 </t>
  </si>
  <si>
    <t xml:space="preserve">EUFCD4798/0291                                    </t>
  </si>
  <si>
    <t xml:space="preserve">11.03.2024 00:00:00 </t>
  </si>
  <si>
    <t xml:space="preserve">08.04.2024 00:00:00 </t>
  </si>
  <si>
    <t xml:space="preserve">05.08.2024 00:00:00 </t>
  </si>
  <si>
    <t xml:space="preserve">22.08.2024 00:00:00 </t>
  </si>
  <si>
    <t xml:space="preserve">BAS/1129                                          </t>
  </si>
  <si>
    <t xml:space="preserve">24.06.2024 00:00:00 </t>
  </si>
  <si>
    <t xml:space="preserve">28.06.2024 00:00:00 </t>
  </si>
  <si>
    <t xml:space="preserve">EUFCD4478/0377                                    </t>
  </si>
  <si>
    <t xml:space="preserve">20.12.2024 00:00:00 </t>
  </si>
  <si>
    <t xml:space="preserve">EUFCD4478/0487                                    </t>
  </si>
  <si>
    <t xml:space="preserve">01.07.2024 00:00:00 </t>
  </si>
  <si>
    <t xml:space="preserve">05.07.2024 00:00:00 </t>
  </si>
  <si>
    <t xml:space="preserve">EUFCD4798/0378                                    </t>
  </si>
  <si>
    <t xml:space="preserve">23.12.2024 00:00:00 </t>
  </si>
  <si>
    <t xml:space="preserve">27.12.2024 00:00:00 </t>
  </si>
  <si>
    <t xml:space="preserve">EUFCD4798/0486                                    </t>
  </si>
  <si>
    <t xml:space="preserve">20.03.2024 00:00:00 </t>
  </si>
  <si>
    <t xml:space="preserve">25.06.2024 00:00:00 </t>
  </si>
  <si>
    <t xml:space="preserve">FM1/0029                                          </t>
  </si>
  <si>
    <t xml:space="preserve">25.07.2024 00:00:00 </t>
  </si>
  <si>
    <t xml:space="preserve">12.08.2024 00:00:00 </t>
  </si>
  <si>
    <t xml:space="preserve">VIG/1068                                          </t>
  </si>
  <si>
    <t xml:space="preserve">29.08.2024 00:00:00 </t>
  </si>
  <si>
    <t xml:space="preserve">26.09.2024 00:00:00 </t>
  </si>
  <si>
    <t xml:space="preserve">VIG/1069                                          </t>
  </si>
  <si>
    <t xml:space="preserve">13.03.2024 00:00:00 </t>
  </si>
  <si>
    <t xml:space="preserve">BAS/1055                                          </t>
  </si>
  <si>
    <t xml:space="preserve">05.11.2024 00:00:00 </t>
  </si>
  <si>
    <t xml:space="preserve">25.11.2024 00:00:00 </t>
  </si>
  <si>
    <t xml:space="preserve">BAS/1201                                          </t>
  </si>
  <si>
    <t xml:space="preserve">26.12.2024 00:00:00 </t>
  </si>
  <si>
    <t xml:space="preserve">09.01.2025 00:00:00 </t>
  </si>
  <si>
    <t xml:space="preserve">22.02.2024 00:00:00 </t>
  </si>
  <si>
    <t xml:space="preserve">EUFCD4478/0301                                    </t>
  </si>
  <si>
    <t xml:space="preserve">20.02.2024 00:00:00 </t>
  </si>
  <si>
    <t xml:space="preserve">EUFCD4478/0304                                    </t>
  </si>
  <si>
    <t>João Matos</t>
  </si>
  <si>
    <t>Ana Silva</t>
  </si>
  <si>
    <t>José Antunes</t>
  </si>
  <si>
    <t>Mario Bezerro</t>
  </si>
  <si>
    <t>Cristiano Eu</t>
  </si>
  <si>
    <t>Gonçalo Ele</t>
  </si>
  <si>
    <t>Outro nome</t>
  </si>
  <si>
    <t>Telmo Milho</t>
  </si>
  <si>
    <t>Rui Macau</t>
  </si>
  <si>
    <t>Antonio Mendes</t>
  </si>
  <si>
    <t>Rui Silva</t>
  </si>
  <si>
    <t>Mario Rui</t>
  </si>
  <si>
    <t>Ronaldo João</t>
  </si>
  <si>
    <t>Leonardo Rocha</t>
  </si>
  <si>
    <t xml:space="preserve">FM1_BL/0031                                          </t>
  </si>
  <si>
    <t xml:space="preserve">BAS_BL/1056                                          </t>
  </si>
  <si>
    <t xml:space="preserve">BAS_BL/1254                                          </t>
  </si>
  <si>
    <t>Lisboa</t>
  </si>
  <si>
    <t>Alverca</t>
  </si>
  <si>
    <t>Laranjeiro</t>
  </si>
  <si>
    <t>Gaia</t>
  </si>
  <si>
    <t>Faro</t>
  </si>
  <si>
    <t>Porto</t>
  </si>
  <si>
    <t>Funchal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</si>
</sst>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topLeftCell="P1" workbookViewId="0">
      <selection activeCell="W3" sqref="W3:W33"/>
    </sheetView>
  </sheetViews>
  <sheetFormatPr defaultColWidth="9" defaultRowHeight="15"/>
  <cols>
    <col min="1" max="1" width="14.140625" customWidth="1"/>
    <col min="2" max="2" width="15.28515625" customWidth="1"/>
    <col min="3" max="3" width="10.7109375" bestFit="1" customWidth="1"/>
    <col min="4" max="4" width="18.42578125" bestFit="1" customWidth="1"/>
    <col min="5" max="5" width="10" customWidth="1"/>
    <col min="6" max="6" width="8.42578125" bestFit="1" customWidth="1"/>
    <col min="7" max="7" width="6.140625" bestFit="1" customWidth="1"/>
    <col min="8" max="8" width="7.5703125" bestFit="1" customWidth="1"/>
    <col min="9" max="9" width="11.28515625" customWidth="1"/>
    <col min="10" max="10" width="11.42578125" customWidth="1"/>
    <col min="11" max="12" width="22.140625" customWidth="1"/>
    <col min="13" max="13" width="20.42578125" customWidth="1"/>
    <col min="14" max="14" width="24.140625" customWidth="1"/>
    <col min="15" max="22" width="21.5703125" bestFit="1" customWidth="1"/>
    <col min="23" max="23" width="22" bestFit="1" customWidth="1"/>
    <col min="24" max="24" width="12" bestFit="1" customWidth="1"/>
    <col min="25" max="25" width="11.85546875" bestFit="1" customWidth="1"/>
    <col min="26" max="26" width="19" bestFit="1" customWidth="1"/>
    <col min="27" max="27" width="19.5703125" bestFit="1" customWidth="1"/>
    <col min="28" max="28" width="9.7109375" bestFit="1" customWidth="1"/>
    <col min="29" max="29" width="18.42578125" bestFit="1" customWidth="1"/>
  </cols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5" t="s">
        <v>27</v>
      </c>
      <c r="Y1" s="5"/>
      <c r="Z1" s="1"/>
      <c r="AA1" s="1"/>
      <c r="AB1" s="1"/>
      <c r="AC1" s="1"/>
    </row>
    <row r="2" spans="1:2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2" t="s">
        <v>28</v>
      </c>
      <c r="Y2" s="2" t="s">
        <v>29</v>
      </c>
      <c r="Z2" s="1" t="s">
        <v>25</v>
      </c>
      <c r="AA2" s="1" t="s">
        <v>6</v>
      </c>
      <c r="AB2" s="1" t="s">
        <v>26</v>
      </c>
      <c r="AC2" s="1" t="s">
        <v>7</v>
      </c>
    </row>
    <row r="3" spans="1:29">
      <c r="A3" t="s">
        <v>30</v>
      </c>
      <c r="B3" s="3" t="s">
        <v>36</v>
      </c>
      <c r="C3" s="3" t="s">
        <v>34</v>
      </c>
      <c r="D3" s="3" t="s">
        <v>35</v>
      </c>
      <c r="E3" s="6" t="s">
        <v>135</v>
      </c>
      <c r="F3">
        <v>22</v>
      </c>
      <c r="G3">
        <v>13</v>
      </c>
      <c r="H3">
        <v>2</v>
      </c>
      <c r="I3">
        <v>3</v>
      </c>
      <c r="J3">
        <v>1</v>
      </c>
      <c r="K3">
        <v>3.2120000000000002</v>
      </c>
      <c r="L3">
        <v>3.532</v>
      </c>
      <c r="M3">
        <v>3.242</v>
      </c>
      <c r="N3">
        <v>3.2120000000000002</v>
      </c>
      <c r="O3">
        <v>3.242</v>
      </c>
      <c r="P3">
        <v>3.2120000000000002</v>
      </c>
      <c r="W3">
        <f>AVERAGE(K3:V3)</f>
        <v>3.2753333333333337</v>
      </c>
      <c r="X3">
        <f>F3-Y3</f>
        <v>18</v>
      </c>
      <c r="Y3">
        <v>4</v>
      </c>
      <c r="Z3">
        <v>3422</v>
      </c>
      <c r="AA3">
        <v>3000</v>
      </c>
      <c r="AB3" t="s">
        <v>118</v>
      </c>
      <c r="AC3">
        <v>3.45</v>
      </c>
    </row>
    <row r="4" spans="1:29">
      <c r="A4" t="s">
        <v>30</v>
      </c>
      <c r="B4" s="3" t="s">
        <v>39</v>
      </c>
      <c r="C4" s="3" t="s">
        <v>37</v>
      </c>
      <c r="D4" s="3" t="s">
        <v>38</v>
      </c>
      <c r="E4" s="6" t="s">
        <v>136</v>
      </c>
      <c r="F4">
        <v>22</v>
      </c>
      <c r="G4">
        <v>12</v>
      </c>
      <c r="H4">
        <v>3</v>
      </c>
      <c r="I4">
        <v>2</v>
      </c>
      <c r="J4">
        <v>1</v>
      </c>
      <c r="K4">
        <v>3.532</v>
      </c>
      <c r="L4">
        <v>2.9870000000000001</v>
      </c>
      <c r="M4">
        <v>3.2120000000000002</v>
      </c>
      <c r="N4">
        <v>3.532</v>
      </c>
      <c r="O4">
        <v>3.2120000000000002</v>
      </c>
      <c r="P4">
        <v>3.532</v>
      </c>
      <c r="W4">
        <f t="shared" ref="W4:W33" si="0">AVERAGE(K4:V4)</f>
        <v>3.3345000000000002</v>
      </c>
      <c r="X4">
        <f t="shared" ref="X4:X33" si="1">F4-Y4</f>
        <v>19</v>
      </c>
      <c r="Y4">
        <v>3</v>
      </c>
      <c r="Z4">
        <v>2783</v>
      </c>
      <c r="AA4">
        <v>2054</v>
      </c>
      <c r="AB4" t="s">
        <v>119</v>
      </c>
      <c r="AC4">
        <f ca="1">RANDBETWEEN(2.5,4)</f>
        <v>3</v>
      </c>
    </row>
    <row r="5" spans="1:29">
      <c r="A5" t="s">
        <v>31</v>
      </c>
      <c r="B5" s="3" t="s">
        <v>42</v>
      </c>
      <c r="C5" s="3" t="s">
        <v>40</v>
      </c>
      <c r="D5" s="3" t="s">
        <v>41</v>
      </c>
      <c r="E5" s="6" t="s">
        <v>137</v>
      </c>
      <c r="F5">
        <v>11</v>
      </c>
      <c r="G5">
        <v>6</v>
      </c>
      <c r="H5">
        <v>2</v>
      </c>
      <c r="I5">
        <v>3</v>
      </c>
      <c r="J5">
        <v>0</v>
      </c>
      <c r="K5">
        <v>2.9870000000000001</v>
      </c>
      <c r="L5">
        <v>3.242</v>
      </c>
      <c r="M5">
        <v>3.532</v>
      </c>
      <c r="N5">
        <v>2.9870000000000001</v>
      </c>
      <c r="O5">
        <v>3.532</v>
      </c>
      <c r="P5">
        <v>2.9870000000000001</v>
      </c>
      <c r="W5">
        <f t="shared" si="0"/>
        <v>3.2111666666666672</v>
      </c>
      <c r="X5">
        <f t="shared" si="1"/>
        <v>9</v>
      </c>
      <c r="Y5">
        <v>2</v>
      </c>
      <c r="Z5">
        <v>3465</v>
      </c>
      <c r="AA5">
        <v>2302</v>
      </c>
      <c r="AB5" t="s">
        <v>120</v>
      </c>
      <c r="AC5">
        <f t="shared" ref="AC5:AC33" ca="1" si="2">RANDBETWEEN(2.5,4)</f>
        <v>4</v>
      </c>
    </row>
    <row r="6" spans="1:29">
      <c r="A6" t="s">
        <v>32</v>
      </c>
      <c r="B6" s="3" t="s">
        <v>45</v>
      </c>
      <c r="C6" s="3" t="s">
        <v>43</v>
      </c>
      <c r="D6" s="3" t="s">
        <v>44</v>
      </c>
      <c r="E6" s="6" t="s">
        <v>135</v>
      </c>
      <c r="F6">
        <v>53</v>
      </c>
      <c r="G6">
        <v>40</v>
      </c>
      <c r="H6">
        <v>3</v>
      </c>
      <c r="I6">
        <v>2</v>
      </c>
      <c r="J6">
        <v>1</v>
      </c>
      <c r="K6">
        <v>3.242</v>
      </c>
      <c r="L6">
        <v>3.2120000000000002</v>
      </c>
      <c r="M6">
        <v>2.9870000000000001</v>
      </c>
      <c r="N6">
        <v>3.242</v>
      </c>
      <c r="W6">
        <f t="shared" si="0"/>
        <v>3.17075</v>
      </c>
      <c r="X6">
        <f t="shared" si="1"/>
        <v>30</v>
      </c>
      <c r="Y6">
        <v>23</v>
      </c>
      <c r="Z6">
        <v>2776</v>
      </c>
      <c r="AA6">
        <v>2340</v>
      </c>
      <c r="AB6" t="s">
        <v>121</v>
      </c>
      <c r="AC6">
        <f t="shared" ca="1" si="2"/>
        <v>3</v>
      </c>
    </row>
    <row r="7" spans="1:29">
      <c r="A7" t="s">
        <v>33</v>
      </c>
      <c r="B7" s="3" t="s">
        <v>132</v>
      </c>
      <c r="C7" s="3" t="s">
        <v>46</v>
      </c>
      <c r="D7" s="3" t="s">
        <v>47</v>
      </c>
      <c r="E7" s="6" t="s">
        <v>138</v>
      </c>
      <c r="F7">
        <v>21</v>
      </c>
      <c r="G7">
        <v>15</v>
      </c>
      <c r="H7">
        <v>3</v>
      </c>
      <c r="I7">
        <v>2</v>
      </c>
      <c r="J7">
        <v>0</v>
      </c>
      <c r="K7">
        <v>3.2120000000000002</v>
      </c>
      <c r="L7">
        <v>3.532</v>
      </c>
      <c r="M7">
        <v>3.242</v>
      </c>
      <c r="N7">
        <v>2.9870000000000001</v>
      </c>
      <c r="W7">
        <f t="shared" si="0"/>
        <v>3.2432500000000002</v>
      </c>
      <c r="X7">
        <f t="shared" si="1"/>
        <v>13</v>
      </c>
      <c r="Y7">
        <v>8</v>
      </c>
      <c r="Z7">
        <v>1021</v>
      </c>
      <c r="AA7">
        <v>1000</v>
      </c>
      <c r="AB7" t="s">
        <v>122</v>
      </c>
      <c r="AC7">
        <f t="shared" ca="1" si="2"/>
        <v>4</v>
      </c>
    </row>
    <row r="8" spans="1:29">
      <c r="A8" t="s">
        <v>33</v>
      </c>
      <c r="B8" s="3" t="s">
        <v>50</v>
      </c>
      <c r="C8" s="3" t="s">
        <v>48</v>
      </c>
      <c r="D8" s="3" t="s">
        <v>49</v>
      </c>
      <c r="E8" s="6" t="s">
        <v>139</v>
      </c>
      <c r="F8">
        <v>12</v>
      </c>
      <c r="G8">
        <v>8</v>
      </c>
      <c r="H8">
        <v>2</v>
      </c>
      <c r="I8">
        <v>2</v>
      </c>
      <c r="J8">
        <v>0</v>
      </c>
      <c r="K8">
        <v>3.532</v>
      </c>
      <c r="L8">
        <v>2.9870000000000001</v>
      </c>
      <c r="M8">
        <v>3.573</v>
      </c>
      <c r="N8">
        <v>3.242</v>
      </c>
      <c r="W8">
        <f t="shared" si="0"/>
        <v>3.3334999999999999</v>
      </c>
      <c r="X8">
        <f t="shared" si="1"/>
        <v>0</v>
      </c>
      <c r="Y8">
        <v>12</v>
      </c>
      <c r="Z8">
        <v>2679</v>
      </c>
      <c r="AA8">
        <v>2320</v>
      </c>
      <c r="AB8" t="s">
        <v>123</v>
      </c>
      <c r="AC8">
        <f t="shared" ca="1" si="2"/>
        <v>4</v>
      </c>
    </row>
    <row r="9" spans="1:29">
      <c r="A9" t="s">
        <v>33</v>
      </c>
      <c r="B9" s="3" t="s">
        <v>52</v>
      </c>
      <c r="C9" s="3" t="s">
        <v>51</v>
      </c>
      <c r="D9" s="3" t="s">
        <v>40</v>
      </c>
      <c r="E9" s="6" t="s">
        <v>135</v>
      </c>
      <c r="F9">
        <v>43</v>
      </c>
      <c r="G9">
        <v>21</v>
      </c>
      <c r="H9">
        <v>5</v>
      </c>
      <c r="I9">
        <v>0</v>
      </c>
      <c r="J9">
        <v>0</v>
      </c>
      <c r="K9">
        <v>2.9870000000000001</v>
      </c>
      <c r="L9">
        <v>3.242</v>
      </c>
      <c r="M9">
        <v>3.573</v>
      </c>
      <c r="N9">
        <v>3.242</v>
      </c>
      <c r="W9">
        <f t="shared" si="0"/>
        <v>3.2610000000000001</v>
      </c>
      <c r="X9">
        <f t="shared" si="1"/>
        <v>38</v>
      </c>
      <c r="Y9">
        <v>5</v>
      </c>
      <c r="Z9">
        <v>2251</v>
      </c>
      <c r="AA9">
        <v>2120</v>
      </c>
      <c r="AB9" t="s">
        <v>124</v>
      </c>
      <c r="AC9">
        <f t="shared" ca="1" si="2"/>
        <v>4</v>
      </c>
    </row>
    <row r="10" spans="1:29">
      <c r="A10" t="s">
        <v>30</v>
      </c>
      <c r="B10" s="3" t="s">
        <v>55</v>
      </c>
      <c r="C10" s="3" t="s">
        <v>53</v>
      </c>
      <c r="D10" s="3" t="s">
        <v>54</v>
      </c>
      <c r="E10" s="6" t="s">
        <v>136</v>
      </c>
      <c r="F10">
        <v>23</v>
      </c>
      <c r="G10">
        <v>12</v>
      </c>
      <c r="H10">
        <v>3</v>
      </c>
      <c r="I10">
        <v>2</v>
      </c>
      <c r="J10">
        <v>1</v>
      </c>
      <c r="K10">
        <v>3.242</v>
      </c>
      <c r="L10">
        <v>2.9870000000000001</v>
      </c>
      <c r="M10">
        <v>3.2120000000000002</v>
      </c>
      <c r="N10">
        <v>3.2120000000000002</v>
      </c>
      <c r="W10">
        <f t="shared" si="0"/>
        <v>3.1632500000000001</v>
      </c>
      <c r="X10">
        <f t="shared" si="1"/>
        <v>20</v>
      </c>
      <c r="Y10">
        <v>3</v>
      </c>
      <c r="Z10">
        <v>754</v>
      </c>
      <c r="AA10">
        <v>500</v>
      </c>
      <c r="AB10" t="s">
        <v>125</v>
      </c>
      <c r="AC10">
        <f t="shared" ca="1" si="2"/>
        <v>4</v>
      </c>
    </row>
    <row r="11" spans="1:29">
      <c r="A11" t="s">
        <v>30</v>
      </c>
      <c r="B11" s="3" t="s">
        <v>58</v>
      </c>
      <c r="C11" s="3" t="s">
        <v>56</v>
      </c>
      <c r="D11" s="3" t="s">
        <v>57</v>
      </c>
      <c r="E11" s="6" t="s">
        <v>140</v>
      </c>
      <c r="F11">
        <v>54</v>
      </c>
      <c r="G11">
        <v>43</v>
      </c>
      <c r="H11">
        <v>4</v>
      </c>
      <c r="I11">
        <v>1</v>
      </c>
      <c r="J11">
        <v>1</v>
      </c>
      <c r="K11">
        <v>3.573</v>
      </c>
      <c r="L11">
        <v>3.242</v>
      </c>
      <c r="W11">
        <f t="shared" si="0"/>
        <v>3.4074999999999998</v>
      </c>
      <c r="X11">
        <f t="shared" si="1"/>
        <v>52</v>
      </c>
      <c r="Y11">
        <v>2</v>
      </c>
      <c r="Z11">
        <v>2857</v>
      </c>
      <c r="AA11">
        <v>2421</v>
      </c>
      <c r="AB11" t="s">
        <v>126</v>
      </c>
      <c r="AC11">
        <f t="shared" ca="1" si="2"/>
        <v>4</v>
      </c>
    </row>
    <row r="12" spans="1:29">
      <c r="A12" t="s">
        <v>30</v>
      </c>
      <c r="B12" s="3" t="s">
        <v>61</v>
      </c>
      <c r="C12" s="3" t="s">
        <v>59</v>
      </c>
      <c r="D12" s="3" t="s">
        <v>60</v>
      </c>
      <c r="E12" s="6" t="s">
        <v>140</v>
      </c>
      <c r="F12">
        <v>22</v>
      </c>
      <c r="G12">
        <v>12</v>
      </c>
      <c r="H12">
        <v>5</v>
      </c>
      <c r="I12">
        <v>0</v>
      </c>
      <c r="J12">
        <v>0</v>
      </c>
      <c r="K12">
        <v>3.573</v>
      </c>
      <c r="L12">
        <v>3.242</v>
      </c>
      <c r="W12">
        <f t="shared" si="0"/>
        <v>3.4074999999999998</v>
      </c>
      <c r="X12">
        <f t="shared" si="1"/>
        <v>19</v>
      </c>
      <c r="Y12">
        <v>3</v>
      </c>
      <c r="Z12">
        <v>1158</v>
      </c>
      <c r="AA12">
        <v>1000</v>
      </c>
      <c r="AB12" t="s">
        <v>127</v>
      </c>
      <c r="AC12">
        <f t="shared" ca="1" si="2"/>
        <v>3</v>
      </c>
    </row>
    <row r="13" spans="1:29">
      <c r="A13" t="s">
        <v>31</v>
      </c>
      <c r="B13" s="3" t="s">
        <v>64</v>
      </c>
      <c r="C13" s="3" t="s">
        <v>62</v>
      </c>
      <c r="D13" s="3" t="s">
        <v>63</v>
      </c>
      <c r="E13" s="6" t="s">
        <v>141</v>
      </c>
      <c r="F13">
        <v>22</v>
      </c>
      <c r="G13">
        <v>20</v>
      </c>
      <c r="H13">
        <v>3</v>
      </c>
      <c r="I13">
        <v>2</v>
      </c>
      <c r="J13">
        <v>1</v>
      </c>
      <c r="K13">
        <v>3.2120000000000002</v>
      </c>
      <c r="L13">
        <v>3.2120000000000002</v>
      </c>
      <c r="W13">
        <f t="shared" si="0"/>
        <v>3.2120000000000002</v>
      </c>
      <c r="X13">
        <f t="shared" si="1"/>
        <v>20</v>
      </c>
      <c r="Y13">
        <v>2</v>
      </c>
      <c r="Z13">
        <v>2396</v>
      </c>
      <c r="AA13">
        <v>1700</v>
      </c>
      <c r="AB13" t="s">
        <v>128</v>
      </c>
      <c r="AC13">
        <f t="shared" ca="1" si="2"/>
        <v>4</v>
      </c>
    </row>
    <row r="14" spans="1:29">
      <c r="A14" t="s">
        <v>32</v>
      </c>
      <c r="B14" s="3" t="s">
        <v>67</v>
      </c>
      <c r="C14" s="3" t="s">
        <v>65</v>
      </c>
      <c r="D14" s="3" t="s">
        <v>66</v>
      </c>
      <c r="E14" s="6" t="s">
        <v>138</v>
      </c>
      <c r="F14">
        <v>11</v>
      </c>
      <c r="G14">
        <v>7</v>
      </c>
      <c r="H14">
        <v>5</v>
      </c>
      <c r="I14">
        <v>0</v>
      </c>
      <c r="J14">
        <v>0</v>
      </c>
      <c r="K14">
        <v>3.532</v>
      </c>
      <c r="L14">
        <v>3.532</v>
      </c>
      <c r="W14">
        <f t="shared" si="0"/>
        <v>3.532</v>
      </c>
      <c r="X14">
        <f t="shared" si="1"/>
        <v>9</v>
      </c>
      <c r="Y14">
        <v>2</v>
      </c>
      <c r="Z14">
        <v>986</v>
      </c>
      <c r="AA14">
        <v>500</v>
      </c>
      <c r="AB14" t="s">
        <v>129</v>
      </c>
      <c r="AC14">
        <f t="shared" ca="1" si="2"/>
        <v>4</v>
      </c>
    </row>
    <row r="15" spans="1:29">
      <c r="A15" t="s">
        <v>33</v>
      </c>
      <c r="B15" s="3" t="s">
        <v>70</v>
      </c>
      <c r="C15" s="3" t="s">
        <v>68</v>
      </c>
      <c r="D15" s="3" t="s">
        <v>69</v>
      </c>
      <c r="E15" s="6" t="s">
        <v>139</v>
      </c>
      <c r="F15">
        <v>53</v>
      </c>
      <c r="G15">
        <v>40</v>
      </c>
      <c r="H15">
        <v>4</v>
      </c>
      <c r="I15">
        <v>1</v>
      </c>
      <c r="J15">
        <v>0</v>
      </c>
      <c r="K15">
        <v>3.2120000000000002</v>
      </c>
      <c r="L15">
        <v>2.9870000000000001</v>
      </c>
      <c r="W15">
        <f t="shared" si="0"/>
        <v>3.0994999999999999</v>
      </c>
      <c r="X15">
        <f t="shared" si="1"/>
        <v>49</v>
      </c>
      <c r="Y15">
        <v>4</v>
      </c>
      <c r="Z15">
        <v>3498</v>
      </c>
      <c r="AA15">
        <v>3400</v>
      </c>
      <c r="AB15" t="s">
        <v>119</v>
      </c>
      <c r="AC15">
        <f t="shared" ca="1" si="2"/>
        <v>4</v>
      </c>
    </row>
    <row r="16" spans="1:29">
      <c r="A16" t="s">
        <v>33</v>
      </c>
      <c r="B16" s="3" t="s">
        <v>73</v>
      </c>
      <c r="C16" s="3" t="s">
        <v>71</v>
      </c>
      <c r="D16" s="3" t="s">
        <v>72</v>
      </c>
      <c r="E16" s="6" t="s">
        <v>135</v>
      </c>
      <c r="F16">
        <v>21</v>
      </c>
      <c r="G16">
        <v>21</v>
      </c>
      <c r="H16">
        <v>5</v>
      </c>
      <c r="I16">
        <v>0</v>
      </c>
      <c r="J16">
        <v>0</v>
      </c>
      <c r="K16">
        <v>3.532</v>
      </c>
      <c r="L16">
        <v>3.242</v>
      </c>
      <c r="W16">
        <f t="shared" si="0"/>
        <v>3.387</v>
      </c>
      <c r="X16">
        <f t="shared" si="1"/>
        <v>18</v>
      </c>
      <c r="Y16">
        <v>3</v>
      </c>
      <c r="Z16">
        <v>2202</v>
      </c>
      <c r="AA16">
        <v>2022</v>
      </c>
      <c r="AB16" t="s">
        <v>120</v>
      </c>
      <c r="AC16">
        <f t="shared" ca="1" si="2"/>
        <v>3</v>
      </c>
    </row>
    <row r="17" spans="1:29">
      <c r="A17" t="s">
        <v>33</v>
      </c>
      <c r="B17" s="3" t="s">
        <v>76</v>
      </c>
      <c r="C17" s="3" t="s">
        <v>74</v>
      </c>
      <c r="D17" s="3" t="s">
        <v>75</v>
      </c>
      <c r="E17" s="6" t="s">
        <v>138</v>
      </c>
      <c r="F17">
        <v>12</v>
      </c>
      <c r="G17">
        <v>5</v>
      </c>
      <c r="H17">
        <v>2</v>
      </c>
      <c r="I17">
        <v>3</v>
      </c>
      <c r="J17">
        <v>1</v>
      </c>
      <c r="K17">
        <v>2.9870000000000001</v>
      </c>
      <c r="L17">
        <v>2.9870000000000001</v>
      </c>
      <c r="W17">
        <f t="shared" si="0"/>
        <v>2.9870000000000001</v>
      </c>
      <c r="X17">
        <f t="shared" si="1"/>
        <v>4</v>
      </c>
      <c r="Y17">
        <v>8</v>
      </c>
      <c r="Z17">
        <v>2573</v>
      </c>
      <c r="AA17">
        <v>2329</v>
      </c>
      <c r="AB17" t="s">
        <v>121</v>
      </c>
      <c r="AC17">
        <f t="shared" ca="1" si="2"/>
        <v>3</v>
      </c>
    </row>
    <row r="18" spans="1:29">
      <c r="A18" t="s">
        <v>30</v>
      </c>
      <c r="B18" s="3" t="s">
        <v>79</v>
      </c>
      <c r="C18" s="3" t="s">
        <v>77</v>
      </c>
      <c r="D18" s="3" t="s">
        <v>78</v>
      </c>
      <c r="E18" s="6" t="s">
        <v>139</v>
      </c>
      <c r="F18">
        <v>43</v>
      </c>
      <c r="G18">
        <v>32</v>
      </c>
      <c r="H18">
        <v>5</v>
      </c>
      <c r="I18">
        <v>0</v>
      </c>
      <c r="J18">
        <v>0</v>
      </c>
      <c r="K18">
        <v>3.242</v>
      </c>
      <c r="L18">
        <v>3.242</v>
      </c>
      <c r="W18">
        <f t="shared" si="0"/>
        <v>3.242</v>
      </c>
      <c r="X18">
        <f t="shared" si="1"/>
        <v>31</v>
      </c>
      <c r="Y18">
        <v>12</v>
      </c>
      <c r="Z18">
        <v>2809</v>
      </c>
      <c r="AA18">
        <v>2500</v>
      </c>
      <c r="AB18" t="s">
        <v>122</v>
      </c>
      <c r="AC18">
        <f t="shared" ca="1" si="2"/>
        <v>3</v>
      </c>
    </row>
    <row r="19" spans="1:29">
      <c r="A19" t="s">
        <v>31</v>
      </c>
      <c r="B19" s="3" t="s">
        <v>81</v>
      </c>
      <c r="C19" s="3" t="s">
        <v>80</v>
      </c>
      <c r="D19" s="3" t="s">
        <v>37</v>
      </c>
      <c r="E19" s="6" t="s">
        <v>135</v>
      </c>
      <c r="F19">
        <v>23</v>
      </c>
      <c r="G19">
        <v>12</v>
      </c>
      <c r="H19">
        <v>3</v>
      </c>
      <c r="I19">
        <v>2</v>
      </c>
      <c r="J19">
        <v>0</v>
      </c>
      <c r="K19">
        <v>3.2120000000000002</v>
      </c>
      <c r="L19">
        <v>2.9870000000000001</v>
      </c>
      <c r="W19">
        <f t="shared" si="0"/>
        <v>3.0994999999999999</v>
      </c>
      <c r="X19">
        <f t="shared" si="1"/>
        <v>18</v>
      </c>
      <c r="Y19">
        <v>5</v>
      </c>
      <c r="Z19">
        <v>900</v>
      </c>
      <c r="AA19">
        <v>500</v>
      </c>
      <c r="AB19" t="s">
        <v>130</v>
      </c>
      <c r="AC19">
        <f t="shared" ca="1" si="2"/>
        <v>4</v>
      </c>
    </row>
    <row r="20" spans="1:29">
      <c r="A20" t="s">
        <v>32</v>
      </c>
      <c r="B20" s="3" t="s">
        <v>133</v>
      </c>
      <c r="C20" s="3" t="s">
        <v>82</v>
      </c>
      <c r="D20" s="3" t="s">
        <v>83</v>
      </c>
      <c r="E20" s="6" t="s">
        <v>136</v>
      </c>
      <c r="F20">
        <v>54</v>
      </c>
      <c r="G20">
        <v>42</v>
      </c>
      <c r="H20">
        <v>2</v>
      </c>
      <c r="I20">
        <v>3</v>
      </c>
      <c r="J20">
        <v>0</v>
      </c>
      <c r="K20">
        <v>3.532</v>
      </c>
      <c r="L20">
        <v>2.9870000000000001</v>
      </c>
      <c r="W20">
        <f t="shared" si="0"/>
        <v>3.2595000000000001</v>
      </c>
      <c r="X20">
        <f t="shared" si="1"/>
        <v>51</v>
      </c>
      <c r="Y20">
        <v>3</v>
      </c>
      <c r="Z20">
        <v>2894</v>
      </c>
      <c r="AA20">
        <v>1843</v>
      </c>
      <c r="AB20" t="s">
        <v>131</v>
      </c>
      <c r="AC20">
        <f t="shared" ca="1" si="2"/>
        <v>4</v>
      </c>
    </row>
    <row r="21" spans="1:29">
      <c r="A21" t="s">
        <v>31</v>
      </c>
      <c r="B21" s="3" t="s">
        <v>86</v>
      </c>
      <c r="C21" s="3" t="s">
        <v>84</v>
      </c>
      <c r="D21" s="3" t="s">
        <v>85</v>
      </c>
      <c r="E21" s="6" t="s">
        <v>140</v>
      </c>
      <c r="F21">
        <v>22</v>
      </c>
      <c r="G21">
        <v>18</v>
      </c>
      <c r="H21">
        <v>3</v>
      </c>
      <c r="I21">
        <v>2</v>
      </c>
      <c r="J21">
        <v>0</v>
      </c>
      <c r="K21">
        <v>2.9870000000000001</v>
      </c>
      <c r="L21">
        <v>3.242</v>
      </c>
      <c r="W21">
        <f t="shared" si="0"/>
        <v>3.1145</v>
      </c>
      <c r="X21">
        <f t="shared" si="1"/>
        <v>20</v>
      </c>
      <c r="Y21">
        <v>2</v>
      </c>
      <c r="Z21">
        <v>1302</v>
      </c>
      <c r="AA21">
        <v>1223</v>
      </c>
      <c r="AB21" t="s">
        <v>128</v>
      </c>
      <c r="AC21">
        <f t="shared" ca="1" si="2"/>
        <v>3</v>
      </c>
    </row>
    <row r="22" spans="1:29">
      <c r="A22" t="s">
        <v>32</v>
      </c>
      <c r="B22" s="3" t="s">
        <v>89</v>
      </c>
      <c r="C22" s="3" t="s">
        <v>87</v>
      </c>
      <c r="D22" s="3" t="s">
        <v>88</v>
      </c>
      <c r="E22" s="6" t="s">
        <v>140</v>
      </c>
      <c r="F22">
        <v>22</v>
      </c>
      <c r="G22">
        <v>13</v>
      </c>
      <c r="H22">
        <v>3</v>
      </c>
      <c r="I22">
        <v>2</v>
      </c>
      <c r="J22">
        <v>0</v>
      </c>
      <c r="K22">
        <v>3.242</v>
      </c>
      <c r="L22">
        <v>2.9870000000000001</v>
      </c>
      <c r="W22">
        <f t="shared" si="0"/>
        <v>3.1145</v>
      </c>
      <c r="X22">
        <f t="shared" si="1"/>
        <v>19</v>
      </c>
      <c r="Y22">
        <v>3</v>
      </c>
      <c r="Z22">
        <v>1613</v>
      </c>
      <c r="AA22">
        <v>1342</v>
      </c>
      <c r="AB22" t="s">
        <v>128</v>
      </c>
      <c r="AC22">
        <f t="shared" ca="1" si="2"/>
        <v>4</v>
      </c>
    </row>
    <row r="23" spans="1:29">
      <c r="A23" t="s">
        <v>33</v>
      </c>
      <c r="B23" s="3" t="s">
        <v>91</v>
      </c>
      <c r="C23" s="3" t="s">
        <v>68</v>
      </c>
      <c r="D23" s="3" t="s">
        <v>90</v>
      </c>
      <c r="E23" s="6" t="s">
        <v>138</v>
      </c>
      <c r="F23">
        <v>11</v>
      </c>
      <c r="G23">
        <v>7</v>
      </c>
      <c r="H23">
        <v>3</v>
      </c>
      <c r="I23">
        <v>2</v>
      </c>
      <c r="J23" s="3">
        <v>0</v>
      </c>
      <c r="K23">
        <v>2.9870000000000001</v>
      </c>
      <c r="L23">
        <v>3.242</v>
      </c>
      <c r="W23">
        <f t="shared" si="0"/>
        <v>3.1145</v>
      </c>
      <c r="X23">
        <f t="shared" si="1"/>
        <v>3</v>
      </c>
      <c r="Y23">
        <v>8</v>
      </c>
      <c r="Z23">
        <v>1025</v>
      </c>
      <c r="AA23">
        <v>700</v>
      </c>
      <c r="AB23" t="s">
        <v>129</v>
      </c>
      <c r="AC23">
        <f t="shared" ca="1" si="2"/>
        <v>3</v>
      </c>
    </row>
    <row r="24" spans="1:29">
      <c r="A24" t="s">
        <v>33</v>
      </c>
      <c r="B24" s="3" t="s">
        <v>94</v>
      </c>
      <c r="C24" s="3" t="s">
        <v>92</v>
      </c>
      <c r="D24" s="3" t="s">
        <v>93</v>
      </c>
      <c r="E24" s="6" t="s">
        <v>139</v>
      </c>
      <c r="F24">
        <v>53</v>
      </c>
      <c r="G24">
        <v>32</v>
      </c>
      <c r="H24">
        <v>5</v>
      </c>
      <c r="I24">
        <v>0</v>
      </c>
      <c r="J24" s="3">
        <v>0</v>
      </c>
      <c r="K24">
        <v>3.242</v>
      </c>
      <c r="L24">
        <v>2.9870000000000001</v>
      </c>
      <c r="W24">
        <f t="shared" si="0"/>
        <v>3.1145</v>
      </c>
      <c r="X24">
        <f t="shared" si="1"/>
        <v>45</v>
      </c>
      <c r="Y24">
        <v>8</v>
      </c>
      <c r="Z24">
        <v>4943</v>
      </c>
      <c r="AA24">
        <v>4943</v>
      </c>
      <c r="AB24" t="s">
        <v>119</v>
      </c>
      <c r="AC24">
        <f t="shared" ca="1" si="2"/>
        <v>3</v>
      </c>
    </row>
    <row r="25" spans="1:29">
      <c r="A25" t="s">
        <v>33</v>
      </c>
      <c r="B25" s="3" t="s">
        <v>97</v>
      </c>
      <c r="C25" s="3" t="s">
        <v>95</v>
      </c>
      <c r="D25" s="3" t="s">
        <v>96</v>
      </c>
      <c r="E25" s="6" t="s">
        <v>135</v>
      </c>
      <c r="F25">
        <v>21</v>
      </c>
      <c r="G25">
        <v>12</v>
      </c>
      <c r="H25">
        <v>2</v>
      </c>
      <c r="I25">
        <v>3</v>
      </c>
      <c r="J25" s="3">
        <v>0</v>
      </c>
      <c r="K25">
        <v>2.9870000000000001</v>
      </c>
      <c r="L25">
        <v>3.242</v>
      </c>
      <c r="W25">
        <f t="shared" si="0"/>
        <v>3.1145</v>
      </c>
      <c r="X25">
        <f t="shared" si="1"/>
        <v>9</v>
      </c>
      <c r="Y25">
        <v>12</v>
      </c>
      <c r="Z25">
        <v>4973</v>
      </c>
      <c r="AA25">
        <v>4973</v>
      </c>
      <c r="AB25" t="s">
        <v>120</v>
      </c>
      <c r="AC25">
        <f t="shared" ca="1" si="2"/>
        <v>3</v>
      </c>
    </row>
    <row r="26" spans="1:29">
      <c r="A26" t="s">
        <v>30</v>
      </c>
      <c r="B26" s="3" t="s">
        <v>100</v>
      </c>
      <c r="C26" s="3" t="s">
        <v>98</v>
      </c>
      <c r="D26" s="3" t="s">
        <v>99</v>
      </c>
      <c r="E26" s="6" t="s">
        <v>136</v>
      </c>
      <c r="F26">
        <v>12</v>
      </c>
      <c r="G26">
        <v>9</v>
      </c>
      <c r="H26">
        <v>3</v>
      </c>
      <c r="I26">
        <v>2</v>
      </c>
      <c r="J26" s="3">
        <v>0</v>
      </c>
      <c r="K26">
        <v>3.242</v>
      </c>
      <c r="L26">
        <v>2.9870000000000001</v>
      </c>
      <c r="W26">
        <f t="shared" si="0"/>
        <v>3.1145</v>
      </c>
      <c r="X26">
        <f t="shared" si="1"/>
        <v>7</v>
      </c>
      <c r="Y26">
        <v>5</v>
      </c>
      <c r="Z26">
        <v>2731</v>
      </c>
      <c r="AA26">
        <v>2731</v>
      </c>
      <c r="AB26" t="s">
        <v>121</v>
      </c>
      <c r="AC26">
        <f t="shared" ca="1" si="2"/>
        <v>4</v>
      </c>
    </row>
    <row r="27" spans="1:29">
      <c r="A27" t="s">
        <v>31</v>
      </c>
      <c r="B27" s="3" t="s">
        <v>103</v>
      </c>
      <c r="C27" s="3" t="s">
        <v>101</v>
      </c>
      <c r="D27" s="3" t="s">
        <v>102</v>
      </c>
      <c r="E27" s="6" t="s">
        <v>140</v>
      </c>
      <c r="F27">
        <v>43</v>
      </c>
      <c r="G27">
        <v>32</v>
      </c>
      <c r="H27">
        <v>2</v>
      </c>
      <c r="I27">
        <v>3</v>
      </c>
      <c r="J27" s="3">
        <v>2</v>
      </c>
      <c r="K27">
        <v>2.9870000000000001</v>
      </c>
      <c r="L27">
        <v>3.242</v>
      </c>
      <c r="W27">
        <f t="shared" si="0"/>
        <v>3.1145</v>
      </c>
      <c r="X27">
        <f t="shared" si="1"/>
        <v>40</v>
      </c>
      <c r="Y27">
        <v>3</v>
      </c>
      <c r="Z27">
        <v>1562</v>
      </c>
      <c r="AA27">
        <v>1562</v>
      </c>
      <c r="AB27" t="s">
        <v>122</v>
      </c>
      <c r="AC27">
        <f t="shared" ca="1" si="2"/>
        <v>3</v>
      </c>
    </row>
    <row r="28" spans="1:29">
      <c r="A28" t="s">
        <v>32</v>
      </c>
      <c r="B28" s="3" t="s">
        <v>106</v>
      </c>
      <c r="C28" s="3" t="s">
        <v>104</v>
      </c>
      <c r="D28" s="3" t="s">
        <v>105</v>
      </c>
      <c r="E28" s="6" t="s">
        <v>138</v>
      </c>
      <c r="F28">
        <v>23</v>
      </c>
      <c r="G28">
        <v>12</v>
      </c>
      <c r="H28">
        <v>5</v>
      </c>
      <c r="I28">
        <v>0</v>
      </c>
      <c r="J28" s="3">
        <v>0</v>
      </c>
      <c r="K28">
        <v>3.242</v>
      </c>
      <c r="L28">
        <v>2.9870000000000001</v>
      </c>
      <c r="W28">
        <f t="shared" si="0"/>
        <v>3.1145</v>
      </c>
      <c r="X28">
        <f t="shared" si="1"/>
        <v>21</v>
      </c>
      <c r="Y28">
        <v>2</v>
      </c>
      <c r="Z28">
        <v>3806</v>
      </c>
      <c r="AA28">
        <v>3806</v>
      </c>
      <c r="AB28" t="s">
        <v>128</v>
      </c>
      <c r="AC28">
        <f t="shared" ca="1" si="2"/>
        <v>4</v>
      </c>
    </row>
    <row r="29" spans="1:29">
      <c r="A29" t="s">
        <v>33</v>
      </c>
      <c r="B29" s="3" t="s">
        <v>108</v>
      </c>
      <c r="C29" s="3" t="s">
        <v>107</v>
      </c>
      <c r="D29" s="3" t="s">
        <v>56</v>
      </c>
      <c r="E29" s="6" t="s">
        <v>139</v>
      </c>
      <c r="F29">
        <v>54</v>
      </c>
      <c r="G29">
        <v>11</v>
      </c>
      <c r="H29">
        <v>3</v>
      </c>
      <c r="I29">
        <v>2</v>
      </c>
      <c r="J29" s="3">
        <v>1</v>
      </c>
      <c r="K29">
        <v>2.9870000000000001</v>
      </c>
      <c r="L29">
        <v>3.242</v>
      </c>
      <c r="W29">
        <f t="shared" si="0"/>
        <v>3.1145</v>
      </c>
      <c r="X29">
        <f t="shared" si="1"/>
        <v>51</v>
      </c>
      <c r="Y29">
        <v>3</v>
      </c>
      <c r="Z29">
        <v>2878</v>
      </c>
      <c r="AA29">
        <v>2878</v>
      </c>
      <c r="AB29" t="s">
        <v>129</v>
      </c>
      <c r="AC29">
        <f t="shared" ca="1" si="2"/>
        <v>3</v>
      </c>
    </row>
    <row r="30" spans="1:29">
      <c r="A30" t="s">
        <v>33</v>
      </c>
      <c r="B30" s="3" t="s">
        <v>111</v>
      </c>
      <c r="C30" s="3" t="s">
        <v>109</v>
      </c>
      <c r="D30" s="3" t="s">
        <v>110</v>
      </c>
      <c r="E30" s="6" t="s">
        <v>135</v>
      </c>
      <c r="F30">
        <v>22</v>
      </c>
      <c r="G30">
        <v>16</v>
      </c>
      <c r="H30">
        <v>3</v>
      </c>
      <c r="I30">
        <v>2</v>
      </c>
      <c r="J30" s="3">
        <v>1</v>
      </c>
      <c r="K30">
        <v>3.242</v>
      </c>
      <c r="L30">
        <v>2.9870000000000001</v>
      </c>
      <c r="W30">
        <f t="shared" si="0"/>
        <v>3.1145</v>
      </c>
      <c r="X30">
        <f t="shared" si="1"/>
        <v>10</v>
      </c>
      <c r="Y30">
        <v>12</v>
      </c>
      <c r="Z30">
        <v>1481</v>
      </c>
      <c r="AA30">
        <v>1481</v>
      </c>
      <c r="AB30" t="s">
        <v>119</v>
      </c>
      <c r="AC30">
        <f t="shared" ca="1" si="2"/>
        <v>3</v>
      </c>
    </row>
    <row r="31" spans="1:29">
      <c r="A31" t="s">
        <v>33</v>
      </c>
      <c r="B31" s="3" t="s">
        <v>134</v>
      </c>
      <c r="C31" s="3" t="s">
        <v>112</v>
      </c>
      <c r="D31" s="3" t="s">
        <v>113</v>
      </c>
      <c r="E31" s="6" t="s">
        <v>136</v>
      </c>
      <c r="F31">
        <v>22</v>
      </c>
      <c r="G31">
        <v>21</v>
      </c>
      <c r="H31">
        <v>2</v>
      </c>
      <c r="I31">
        <v>3</v>
      </c>
      <c r="J31" s="3">
        <v>1</v>
      </c>
      <c r="K31">
        <v>3.2120000000000002</v>
      </c>
      <c r="L31">
        <v>3.242</v>
      </c>
      <c r="W31">
        <f t="shared" si="0"/>
        <v>3.2270000000000003</v>
      </c>
      <c r="X31">
        <f t="shared" si="1"/>
        <v>17</v>
      </c>
      <c r="Y31">
        <v>5</v>
      </c>
      <c r="Z31">
        <v>2068</v>
      </c>
      <c r="AA31">
        <v>2068</v>
      </c>
      <c r="AB31" t="s">
        <v>120</v>
      </c>
      <c r="AC31">
        <f t="shared" ca="1" si="2"/>
        <v>4</v>
      </c>
    </row>
    <row r="32" spans="1:29">
      <c r="A32" t="s">
        <v>30</v>
      </c>
      <c r="B32" s="4" t="s">
        <v>115</v>
      </c>
      <c r="C32" s="3" t="s">
        <v>114</v>
      </c>
      <c r="D32" s="3" t="s">
        <v>37</v>
      </c>
      <c r="E32" s="6" t="s">
        <v>140</v>
      </c>
      <c r="F32">
        <v>11</v>
      </c>
      <c r="G32">
        <v>6</v>
      </c>
      <c r="H32">
        <v>2</v>
      </c>
      <c r="I32">
        <v>3</v>
      </c>
      <c r="J32" s="3">
        <v>1</v>
      </c>
      <c r="K32">
        <v>3.532</v>
      </c>
      <c r="L32">
        <v>2.9870000000000001</v>
      </c>
      <c r="W32">
        <f t="shared" si="0"/>
        <v>3.2595000000000001</v>
      </c>
      <c r="X32">
        <f t="shared" si="1"/>
        <v>8</v>
      </c>
      <c r="Y32">
        <v>3</v>
      </c>
      <c r="Z32">
        <v>4174</v>
      </c>
      <c r="AA32">
        <v>4174</v>
      </c>
      <c r="AB32" t="s">
        <v>121</v>
      </c>
      <c r="AC32">
        <f t="shared" ca="1" si="2"/>
        <v>4</v>
      </c>
    </row>
    <row r="33" spans="1:29">
      <c r="A33" t="s">
        <v>30</v>
      </c>
      <c r="B33" s="3" t="s">
        <v>117</v>
      </c>
      <c r="C33" s="3" t="s">
        <v>116</v>
      </c>
      <c r="D33" s="3" t="s">
        <v>37</v>
      </c>
      <c r="E33" s="6" t="s">
        <v>140</v>
      </c>
      <c r="F33">
        <v>53</v>
      </c>
      <c r="G33">
        <v>30</v>
      </c>
      <c r="H33">
        <v>3</v>
      </c>
      <c r="I33">
        <v>2</v>
      </c>
      <c r="J33" s="3">
        <v>1</v>
      </c>
      <c r="K33">
        <v>2.9870000000000001</v>
      </c>
      <c r="L33">
        <v>3.242</v>
      </c>
      <c r="W33">
        <f t="shared" si="0"/>
        <v>3.1145</v>
      </c>
      <c r="X33">
        <f t="shared" si="1"/>
        <v>51</v>
      </c>
      <c r="Y33">
        <v>2</v>
      </c>
      <c r="Z33">
        <v>2911</v>
      </c>
      <c r="AA33">
        <v>2911</v>
      </c>
      <c r="AB33" t="s">
        <v>122</v>
      </c>
      <c r="AC33">
        <f t="shared" ca="1" si="2"/>
        <v>4</v>
      </c>
    </row>
    <row r="34" spans="1:29">
      <c r="E34" s="6"/>
      <c r="H34" s="3"/>
      <c r="I34" s="3"/>
      <c r="J34" s="3"/>
    </row>
    <row r="35" spans="1:29">
      <c r="H35" s="3"/>
      <c r="I35" s="3"/>
      <c r="J35" s="3"/>
    </row>
    <row r="36" spans="1:29">
      <c r="H36" s="3"/>
      <c r="I36" s="3"/>
      <c r="J36" s="3"/>
    </row>
    <row r="37" spans="1:29">
      <c r="H37" s="3"/>
      <c r="I37" s="3"/>
      <c r="J37" s="3"/>
    </row>
    <row r="38" spans="1:29">
      <c r="H38" s="3"/>
      <c r="I38" s="3"/>
      <c r="J38" s="3"/>
    </row>
    <row r="39" spans="1:29">
      <c r="H39" s="3"/>
      <c r="I39" s="3"/>
      <c r="J39" s="3"/>
    </row>
    <row r="40" spans="1:29">
      <c r="H40" s="3"/>
      <c r="I40" s="3"/>
      <c r="J40" s="3"/>
    </row>
    <row r="41" spans="1:29">
      <c r="H41" s="3"/>
      <c r="I41" s="3"/>
      <c r="J41" s="3"/>
    </row>
    <row r="42" spans="1:29">
      <c r="H42" s="3"/>
      <c r="I42" s="3"/>
      <c r="J42" s="3"/>
    </row>
    <row r="43" spans="1:29">
      <c r="H43" s="3"/>
      <c r="I43" s="3"/>
      <c r="J43" s="3"/>
    </row>
    <row r="44" spans="1:29">
      <c r="H44" s="3"/>
      <c r="I44" s="3"/>
      <c r="J44" s="3"/>
    </row>
    <row r="45" spans="1:29">
      <c r="H45" s="3"/>
      <c r="I45" s="3"/>
      <c r="J45" s="3"/>
    </row>
    <row r="46" spans="1:29">
      <c r="H46" s="3"/>
      <c r="I46" s="3"/>
      <c r="J46" s="3"/>
    </row>
    <row r="47" spans="1:29">
      <c r="H47" s="3"/>
      <c r="I47" s="3"/>
      <c r="J47" s="3"/>
    </row>
    <row r="48" spans="1:29">
      <c r="H48" s="3"/>
      <c r="I48" s="3"/>
      <c r="J48" s="3"/>
    </row>
    <row r="49" spans="8:10">
      <c r="H49" s="3"/>
      <c r="I49" s="3"/>
      <c r="J49" s="3"/>
    </row>
    <row r="50" spans="8:10">
      <c r="H50" s="3"/>
      <c r="I50" s="3"/>
      <c r="J50" s="3"/>
    </row>
    <row r="51" spans="8:10">
      <c r="H51" s="3"/>
      <c r="I51" s="3"/>
      <c r="J51" s="3"/>
    </row>
    <row r="52" spans="8:10">
      <c r="H52" s="3"/>
      <c r="I52" s="3"/>
      <c r="J52" s="3"/>
    </row>
    <row r="53" spans="8:10">
      <c r="H53" s="3"/>
      <c r="I53" s="3"/>
      <c r="J53" s="3"/>
    </row>
  </sheetData>
  <mergeCells count="1">
    <mergeCell ref="X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dcterms:created xsi:type="dcterms:W3CDTF">2026-04-16T10:57:00Z</dcterms:created>
  <dcterms:modified xsi:type="dcterms:W3CDTF">2026-04-20T15:45:49Z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A080949E31224E328EF354F615041D21_13</vt:lpwstr>
  </property>
  <property fmtid="{D5CDD505-2E9C-101B-9397-08002B2CF9AE}" pid="3" name="KSOProductBuildVer">
    <vt:lpwstr>2070-12.2.0.23196</vt:lpwstr>
  </property>
</Properties>
</file>